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449B82EF-4427-4AB3-9AC9-2579B075EC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3" i="1"/>
  <c r="G10" i="1"/>
  <c r="G9" i="1"/>
  <c r="G8" i="1"/>
  <c r="C13" i="1"/>
  <c r="C12" i="1"/>
  <c r="C11" i="1"/>
  <c r="C10" i="1"/>
  <c r="C9" i="1"/>
  <c r="C8" i="1"/>
</calcChain>
</file>

<file path=xl/sharedStrings.xml><?xml version="1.0" encoding="utf-8"?>
<sst xmlns="http://schemas.openxmlformats.org/spreadsheetml/2006/main" count="25" uniqueCount="23">
  <si>
    <t>ID</t>
  </si>
  <si>
    <t>Name</t>
  </si>
  <si>
    <t>Department</t>
  </si>
  <si>
    <t>Salary</t>
  </si>
  <si>
    <t>Ali</t>
  </si>
  <si>
    <t>sales</t>
  </si>
  <si>
    <t xml:space="preserve">Sara </t>
  </si>
  <si>
    <t>HR</t>
  </si>
  <si>
    <t>Zara</t>
  </si>
  <si>
    <t>Jaffar</t>
  </si>
  <si>
    <t>IT</t>
  </si>
  <si>
    <t>Sahil</t>
  </si>
  <si>
    <t>total salary</t>
  </si>
  <si>
    <t>IF</t>
  </si>
  <si>
    <t>average</t>
  </si>
  <si>
    <t>sumif</t>
  </si>
  <si>
    <t>MIN</t>
  </si>
  <si>
    <t>countif</t>
  </si>
  <si>
    <t>max</t>
  </si>
  <si>
    <t>count</t>
  </si>
  <si>
    <t>counta</t>
  </si>
  <si>
    <t>vlookup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</si>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</sst>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Sheet1!$K$16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7FB-4D52-A2B1-63FD63920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539848"/>
        <c:axId val="1397541896"/>
      </c:barChart>
      <c:catAx>
        <c:axId val="1397539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541896"/>
        <c:crosses val="autoZero"/>
        <c:auto val="1"/>
        <c:lblAlgn val="ctr"/>
        <c:lblOffset val="100"/>
        <c:noMultiLvlLbl val="0"/>
      </c:catAx>
      <c:valAx>
        <c:axId val="139754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53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0</xdr:row>
      <xdr:rowOff>0</xdr:rowOff>
    </xdr:from>
    <xdr:to>
      <xdr:col>15</xdr:col>
      <xdr:colOff>285750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CBE81-315B-6EB5-53A0-52CF20AC5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R7" sqref="R7"/>
    </sheetView>
  </sheetViews>
  <sheetFormatPr defaultRowHeight="15"/>
  <cols>
    <col min="2" max="2" width="10.5703125" bestFit="1" customWidth="1"/>
    <col min="3" max="3" width="11.42578125" bestFit="1" customWidth="1"/>
    <col min="7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>
        <v>101</v>
      </c>
      <c r="B2" t="s">
        <v>4</v>
      </c>
      <c r="C2" t="s">
        <v>5</v>
      </c>
      <c r="D2">
        <v>50000</v>
      </c>
    </row>
    <row r="3" spans="1:7">
      <c r="A3">
        <v>102</v>
      </c>
      <c r="B3" t="s">
        <v>6</v>
      </c>
      <c r="C3" t="s">
        <v>7</v>
      </c>
      <c r="D3">
        <v>60000</v>
      </c>
    </row>
    <row r="4" spans="1:7">
      <c r="A4">
        <v>103</v>
      </c>
      <c r="B4" t="s">
        <v>8</v>
      </c>
      <c r="C4" t="s">
        <v>5</v>
      </c>
      <c r="D4">
        <v>55000</v>
      </c>
    </row>
    <row r="5" spans="1:7">
      <c r="A5">
        <v>104</v>
      </c>
      <c r="B5" t="s">
        <v>9</v>
      </c>
      <c r="C5" t="s">
        <v>10</v>
      </c>
      <c r="D5">
        <v>70000</v>
      </c>
    </row>
    <row r="6" spans="1:7">
      <c r="A6">
        <v>105</v>
      </c>
      <c r="B6" t="s">
        <v>11</v>
      </c>
      <c r="C6" t="s">
        <v>7</v>
      </c>
      <c r="D6">
        <v>65000</v>
      </c>
    </row>
    <row r="8" spans="1:7">
      <c r="B8" t="s">
        <v>12</v>
      </c>
      <c r="C8">
        <f>SUM(D2:D6,)</f>
        <v>300000</v>
      </c>
      <c r="F8" t="s">
        <v>13</v>
      </c>
      <c r="G8" t="str">
        <f>IF(D2&lt;D3, "low", "high")</f>
        <v>low</v>
      </c>
    </row>
    <row r="9" spans="1:7">
      <c r="B9" t="s">
        <v>14</v>
      </c>
      <c r="C9">
        <f>AVERAGE(D2:D6)</f>
        <v>60000</v>
      </c>
      <c r="F9" t="s">
        <v>15</v>
      </c>
      <c r="G9">
        <f>SUMIF(B2:B6,"&gt;60000")</f>
        <v>0</v>
      </c>
    </row>
    <row r="10" spans="1:7">
      <c r="B10" t="s">
        <v>16</v>
      </c>
      <c r="C10">
        <f>MIN(D2:D6)</f>
        <v>50000</v>
      </c>
      <c r="F10" t="s">
        <v>17</v>
      </c>
      <c r="G10">
        <f>COUNTIF(B2:B6,"&gt;60000")</f>
        <v>0</v>
      </c>
    </row>
    <row r="11" spans="1:7">
      <c r="B11" t="s">
        <v>18</v>
      </c>
      <c r="C11">
        <f>MAX(D2:D6)</f>
        <v>70000</v>
      </c>
    </row>
    <row r="12" spans="1:7">
      <c r="B12" t="s">
        <v>19</v>
      </c>
      <c r="C12">
        <f>COUNT(D2:D6)</f>
        <v>5</v>
      </c>
    </row>
    <row r="13" spans="1:7">
      <c r="B13" t="s">
        <v>20</v>
      </c>
      <c r="C13">
        <f>COUNTA(D2:D6)</f>
        <v>5</v>
      </c>
      <c r="E13" t="s">
        <v>21</v>
      </c>
      <c r="F13" t="str">
        <f>VLOOKUP(101,A2:C6,2,FALSE)</f>
        <v>Ali</v>
      </c>
    </row>
    <row r="14" spans="1:7">
      <c r="E14" t="s">
        <v>22</v>
      </c>
      <c r="F14" t="str">
        <f>_xlfn.XLOOKUP(101,A2:A6,B2:B6)</f>
        <v>Ali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syed jaffar ali</cp:lastModifiedBy>
  <cp:revision/>
  <dcterms:created xsi:type="dcterms:W3CDTF">2026-06-18T12:17:22Z</dcterms:created>
  <dcterms:modified xsi:type="dcterms:W3CDTF">2026-06-21T10:14:57Z</dcterms:modified>
  <cp:category/>
  <cp:contentStatus/>
</cp:coreProperties>
</file>